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os" sheetId="1" state="visible" r:id="rId1"/>
    <sheet xmlns:r="http://schemas.openxmlformats.org/officeDocument/2006/relationships" name="Diccionario" sheetId="2" state="visible" r:id="rId2"/>
  </sheets>
  <definedNames>
    <definedName name="_xlnm.Print_Titles" localSheetId="0">'Base_Datos'!$1:$4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;[Red](#,##0.0);-"/>
    <numFmt numFmtId="166" formatCode="0.0%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76979"/>
      <sz val="10"/>
    </font>
    <font>
      <name val="Aptos"/>
      <b val="1"/>
      <color rgb="00FFFFFF"/>
      <sz val="10"/>
    </font>
    <font>
      <name val="Aptos"/>
      <color rgb="0000804E"/>
      <sz val="10"/>
    </font>
    <font>
      <name val="Aptos"/>
      <color rgb="00000000"/>
      <sz val="10"/>
    </font>
    <font>
      <b val="1"/>
      <color rgb="00FFFFFF"/>
    </font>
    <font>
      <name val="Aptos"/>
      <color rgb="0049596A"/>
      <sz val="10"/>
    </font>
  </fonts>
  <fills count="6">
    <fill>
      <patternFill/>
    </fill>
    <fill>
      <patternFill patternType="gray125"/>
    </fill>
    <fill>
      <patternFill patternType="solid">
        <fgColor rgb="0013315C"/>
      </patternFill>
    </fill>
    <fill>
      <patternFill patternType="solid">
        <fgColor rgb="0022679A"/>
      </patternFill>
    </fill>
    <fill>
      <patternFill patternType="solid">
        <fgColor rgb="00F4F8FA"/>
      </patternFill>
    </fill>
    <fill>
      <patternFill patternType="solid">
        <fgColor rgb="00F5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17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7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0" fontId="1" fillId="2" borderId="0" pivotButton="0" quotePrefix="0" xfId="0"/>
    <xf numFmtId="0" fontId="6" fillId="3" borderId="0" applyAlignment="1" pivotButton="0" quotePrefix="0" xfId="0">
      <alignment wrapText="1"/>
    </xf>
    <xf numFmtId="0" fontId="7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color rgb="00AE5F00"/>
      </font>
      <fill>
        <patternFill patternType="solid">
          <fgColor rgb="00FFF1D9"/>
        </patternFill>
      </fill>
    </dxf>
    <dxf>
      <font>
        <color rgb="00B42318"/>
      </font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dicadoresOperativos2026" displayName="IndicadoresOperativos2026" ref="A4:K31" headerRowCount="1">
  <autoFilter ref="A4:K31"/>
  <tableColumns count="11">
    <tableColumn id="1" name="Mes"/>
    <tableColumn id="2" name="Línea de negocio"/>
    <tableColumn id="3" name="Transacciones"/>
    <tableColumn id="4" name="Ingresos (mill. UM)"/>
    <tableColumn id="5" name="Costos (mill. UM)"/>
    <tableColumn id="6" name="Incidentes críticos"/>
    <tableColumn id="7" name="Reclamos recibidos"/>
    <tableColumn id="8" name="Reclamos resueltos &lt;48 h"/>
    <tableColumn id="9" name="Meta margen (mill. UM)"/>
    <tableColumn id="10" name="Margen (mill. UM)"/>
    <tableColumn id="11" name="SLA reclamos 48 h"/>
  </tableColumns>
  <tableStyleInfo name="TableStyleMedium2" showFirstColumn="0" showLa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21" customWidth="1" min="4" max="4"/>
    <col width="20" customWidth="1" min="5" max="5"/>
    <col width="17" customWidth="1" min="6" max="6"/>
    <col width="19" customWidth="1" min="7" max="7"/>
    <col width="23" customWidth="1" min="8" max="8"/>
    <col width="22" customWidth="1" min="9" max="9"/>
    <col width="19" customWidth="1" min="10" max="10"/>
    <col width="18" customWidth="1" min="11" max="11"/>
  </cols>
  <sheetData>
    <row r="1" ht="32" customHeight="1">
      <c r="A1" s="1" t="inlineStr">
        <is>
          <t>GRUPO HORIZONTE | Indicadores operativos enero-septiembre 2026</t>
        </is>
      </c>
    </row>
    <row r="2" ht="23" customHeight="1">
      <c r="A2" s="2" t="inlineStr">
        <is>
          <t>Unidad monetaria (UM) | Ingresos, costos, margen y meta expresados en millones de UM | Datos del escenario</t>
        </is>
      </c>
    </row>
    <row r="4" ht="32" customHeight="1">
      <c r="A4" s="3" t="inlineStr">
        <is>
          <t>Mes</t>
        </is>
      </c>
      <c r="B4" s="3" t="inlineStr">
        <is>
          <t>Línea de negocio</t>
        </is>
      </c>
      <c r="C4" s="3" t="inlineStr">
        <is>
          <t>Transacciones</t>
        </is>
      </c>
      <c r="D4" s="3" t="inlineStr">
        <is>
          <t>Ingresos (mill. UM)</t>
        </is>
      </c>
      <c r="E4" s="3" t="inlineStr">
        <is>
          <t>Costos (mill. UM)</t>
        </is>
      </c>
      <c r="F4" s="3" t="inlineStr">
        <is>
          <t>Incidentes críticos</t>
        </is>
      </c>
      <c r="G4" s="3" t="inlineStr">
        <is>
          <t>Reclamos recibidos</t>
        </is>
      </c>
      <c r="H4" s="3" t="inlineStr">
        <is>
          <t>Reclamos resueltos &lt;48 h</t>
        </is>
      </c>
      <c r="I4" s="3" t="inlineStr">
        <is>
          <t>Meta margen (mill. UM)</t>
        </is>
      </c>
      <c r="J4" s="3" t="inlineStr">
        <is>
          <t>Margen (mill. UM)</t>
        </is>
      </c>
      <c r="K4" s="3" t="inlineStr">
        <is>
          <t>SLA reclamos 48 h</t>
        </is>
      </c>
    </row>
    <row r="5" ht="20" customHeight="1">
      <c r="A5" s="4" t="n">
        <v>46023</v>
      </c>
      <c r="B5" s="5" t="inlineStr">
        <is>
          <t>Canal Digital</t>
        </is>
      </c>
      <c r="C5" s="6" t="n">
        <v>594000</v>
      </c>
      <c r="D5" s="7" t="n">
        <v>201.3</v>
      </c>
      <c r="E5" s="7" t="n">
        <v>119.4</v>
      </c>
      <c r="F5" s="6" t="n">
        <v>3</v>
      </c>
      <c r="G5" s="6" t="n">
        <v>119</v>
      </c>
      <c r="H5" s="6" t="n">
        <v>113</v>
      </c>
      <c r="I5" s="7" t="n">
        <v>82</v>
      </c>
      <c r="J5" s="8">
        <f>D5-E5</f>
        <v>81.9</v>
      </c>
      <c r="K5" s="9">
        <f>IFERROR(H5/G5,0)</f>
        <v>0.94957983193277</v>
      </c>
    </row>
    <row r="6" ht="20" customHeight="1">
      <c r="A6" s="10" t="n">
        <v>46023</v>
      </c>
      <c r="B6" s="11" t="inlineStr">
        <is>
          <t>Pymes</t>
        </is>
      </c>
      <c r="C6" s="12" t="n">
        <v>168100</v>
      </c>
      <c r="D6" s="13" t="n">
        <v>124.4</v>
      </c>
      <c r="E6" s="13" t="n">
        <v>77.3</v>
      </c>
      <c r="F6" s="12" t="n">
        <v>2</v>
      </c>
      <c r="G6" s="12" t="n">
        <v>64</v>
      </c>
      <c r="H6" s="12" t="n">
        <v>61</v>
      </c>
      <c r="I6" s="13" t="n">
        <v>43.8</v>
      </c>
      <c r="J6" s="14">
        <f>D6-E6</f>
        <v>47.1</v>
      </c>
      <c r="K6" s="15">
        <f>IFERROR(H6/G6,0)</f>
        <v>0.953125</v>
      </c>
    </row>
    <row r="7" ht="20" customHeight="1">
      <c r="A7" s="4" t="n">
        <v>46023</v>
      </c>
      <c r="B7" s="5" t="inlineStr">
        <is>
          <t>Empresas</t>
        </is>
      </c>
      <c r="C7" s="6" t="n">
        <v>82000</v>
      </c>
      <c r="D7" s="7" t="n">
        <v>155.8</v>
      </c>
      <c r="E7" s="7" t="n">
        <v>90.90000000000001</v>
      </c>
      <c r="F7" s="6" t="n">
        <v>1</v>
      </c>
      <c r="G7" s="6" t="n">
        <v>28</v>
      </c>
      <c r="H7" s="6" t="n">
        <v>27</v>
      </c>
      <c r="I7" s="7" t="n">
        <v>62.3</v>
      </c>
      <c r="J7" s="8">
        <f>D7-E7</f>
        <v>64.9</v>
      </c>
      <c r="K7" s="9">
        <f>IFERROR(H7/G7,0)</f>
        <v>0.96428571428571</v>
      </c>
    </row>
    <row r="8" ht="20" customHeight="1">
      <c r="A8" s="10" t="n">
        <v>46054</v>
      </c>
      <c r="B8" s="11" t="inlineStr">
        <is>
          <t>Canal Digital</t>
        </is>
      </c>
      <c r="C8" s="12" t="n">
        <v>613000</v>
      </c>
      <c r="D8" s="13" t="n">
        <v>206.6</v>
      </c>
      <c r="E8" s="13" t="n">
        <v>122.8</v>
      </c>
      <c r="F8" s="12" t="n">
        <v>4</v>
      </c>
      <c r="G8" s="12" t="n">
        <v>125</v>
      </c>
      <c r="H8" s="12" t="n">
        <v>117</v>
      </c>
      <c r="I8" s="13" t="n">
        <v>84</v>
      </c>
      <c r="J8" s="14">
        <f>D8-E8</f>
        <v>83.8</v>
      </c>
      <c r="K8" s="15">
        <f>IFERROR(H8/G8,0)</f>
        <v>0.936</v>
      </c>
    </row>
    <row r="9" ht="20" customHeight="1">
      <c r="A9" s="4" t="n">
        <v>46054</v>
      </c>
      <c r="B9" s="5" t="inlineStr">
        <is>
          <t>Pymes</t>
        </is>
      </c>
      <c r="C9" s="6" t="n">
        <v>171200</v>
      </c>
      <c r="D9" s="7" t="n">
        <v>126.8</v>
      </c>
      <c r="E9" s="7" t="n">
        <v>78.7</v>
      </c>
      <c r="F9" s="6" t="n">
        <v>2</v>
      </c>
      <c r="G9" s="6" t="n">
        <v>68</v>
      </c>
      <c r="H9" s="6" t="n">
        <v>64</v>
      </c>
      <c r="I9" s="7" t="n">
        <v>44.6</v>
      </c>
      <c r="J9" s="8">
        <f>D9-E9</f>
        <v>48.1</v>
      </c>
      <c r="K9" s="9">
        <f>IFERROR(H9/G9,0)</f>
        <v>0.94117647058824</v>
      </c>
    </row>
    <row r="10" ht="20" customHeight="1">
      <c r="A10" s="10" t="n">
        <v>46054</v>
      </c>
      <c r="B10" s="11" t="inlineStr">
        <is>
          <t>Empresas</t>
        </is>
      </c>
      <c r="C10" s="12" t="n">
        <v>84000</v>
      </c>
      <c r="D10" s="13" t="n">
        <v>157.6</v>
      </c>
      <c r="E10" s="13" t="n">
        <v>91.8</v>
      </c>
      <c r="F10" s="12" t="n">
        <v>1</v>
      </c>
      <c r="G10" s="12" t="n">
        <v>30</v>
      </c>
      <c r="H10" s="12" t="n">
        <v>29</v>
      </c>
      <c r="I10" s="13" t="n">
        <v>62.6</v>
      </c>
      <c r="J10" s="14">
        <f>D10-E10</f>
        <v>65.8</v>
      </c>
      <c r="K10" s="15">
        <f>IFERROR(H10/G10,0)</f>
        <v>0.96666666666667</v>
      </c>
    </row>
    <row r="11" ht="20" customHeight="1">
      <c r="A11" s="4" t="n">
        <v>46082</v>
      </c>
      <c r="B11" s="5" t="inlineStr">
        <is>
          <t>Canal Digital</t>
        </is>
      </c>
      <c r="C11" s="6" t="n">
        <v>632000</v>
      </c>
      <c r="D11" s="7" t="n">
        <v>211.9</v>
      </c>
      <c r="E11" s="7" t="n">
        <v>126.2</v>
      </c>
      <c r="F11" s="6" t="n">
        <v>3</v>
      </c>
      <c r="G11" s="6" t="n">
        <v>132</v>
      </c>
      <c r="H11" s="6" t="n">
        <v>123</v>
      </c>
      <c r="I11" s="7" t="n">
        <v>86</v>
      </c>
      <c r="J11" s="8">
        <f>D11-E11</f>
        <v>85.7</v>
      </c>
      <c r="K11" s="9">
        <f>IFERROR(H11/G11,0)</f>
        <v>0.93181818181818</v>
      </c>
    </row>
    <row r="12" ht="20" customHeight="1">
      <c r="A12" s="10" t="n">
        <v>46082</v>
      </c>
      <c r="B12" s="11" t="inlineStr">
        <is>
          <t>Pymes</t>
        </is>
      </c>
      <c r="C12" s="12" t="n">
        <v>174300</v>
      </c>
      <c r="D12" s="13" t="n">
        <v>129.2</v>
      </c>
      <c r="E12" s="13" t="n">
        <v>80</v>
      </c>
      <c r="F12" s="12" t="n">
        <v>3</v>
      </c>
      <c r="G12" s="12" t="n">
        <v>71</v>
      </c>
      <c r="H12" s="12" t="n">
        <v>67</v>
      </c>
      <c r="I12" s="13" t="n">
        <v>45.4</v>
      </c>
      <c r="J12" s="14">
        <f>D12-E12</f>
        <v>49.2</v>
      </c>
      <c r="K12" s="15">
        <f>IFERROR(H12/G12,0)</f>
        <v>0.94366197183099</v>
      </c>
    </row>
    <row r="13" ht="20" customHeight="1">
      <c r="A13" s="4" t="n">
        <v>46082</v>
      </c>
      <c r="B13" s="5" t="inlineStr">
        <is>
          <t>Empresas</t>
        </is>
      </c>
      <c r="C13" s="6" t="n">
        <v>86000</v>
      </c>
      <c r="D13" s="7" t="n">
        <v>159.4</v>
      </c>
      <c r="E13" s="7" t="n">
        <v>92.7</v>
      </c>
      <c r="F13" s="6" t="n">
        <v>1</v>
      </c>
      <c r="G13" s="6" t="n">
        <v>29</v>
      </c>
      <c r="H13" s="6" t="n">
        <v>28</v>
      </c>
      <c r="I13" s="7" t="n">
        <v>62.9</v>
      </c>
      <c r="J13" s="8">
        <f>D13-E13</f>
        <v>66.7</v>
      </c>
      <c r="K13" s="9">
        <f>IFERROR(H13/G13,0)</f>
        <v>0.96551724137931</v>
      </c>
    </row>
    <row r="14" ht="20" customHeight="1">
      <c r="A14" s="10" t="n">
        <v>46113</v>
      </c>
      <c r="B14" s="11" t="inlineStr">
        <is>
          <t>Canal Digital</t>
        </is>
      </c>
      <c r="C14" s="12" t="n">
        <v>651000</v>
      </c>
      <c r="D14" s="13" t="n">
        <v>217.2</v>
      </c>
      <c r="E14" s="13" t="n">
        <v>129.6</v>
      </c>
      <c r="F14" s="12" t="n">
        <v>5</v>
      </c>
      <c r="G14" s="12" t="n">
        <v>140</v>
      </c>
      <c r="H14" s="12" t="n">
        <v>130</v>
      </c>
      <c r="I14" s="13" t="n">
        <v>88</v>
      </c>
      <c r="J14" s="14">
        <f>D14-E14</f>
        <v>87.6</v>
      </c>
      <c r="K14" s="15">
        <f>IFERROR(H14/G14,0)</f>
        <v>0.92857142857143</v>
      </c>
    </row>
    <row r="15" ht="20" customHeight="1">
      <c r="A15" s="4" t="n">
        <v>46113</v>
      </c>
      <c r="B15" s="5" t="inlineStr">
        <is>
          <t>Pymes</t>
        </is>
      </c>
      <c r="C15" s="6" t="n">
        <v>177400</v>
      </c>
      <c r="D15" s="7" t="n">
        <v>131.6</v>
      </c>
      <c r="E15" s="7" t="n">
        <v>81.40000000000001</v>
      </c>
      <c r="F15" s="6" t="n">
        <v>3</v>
      </c>
      <c r="G15" s="6" t="n">
        <v>73</v>
      </c>
      <c r="H15" s="6" t="n">
        <v>68</v>
      </c>
      <c r="I15" s="7" t="n">
        <v>46.2</v>
      </c>
      <c r="J15" s="8">
        <f>D15-E15</f>
        <v>50.2</v>
      </c>
      <c r="K15" s="9">
        <f>IFERROR(H15/G15,0)</f>
        <v>0.93150684931507</v>
      </c>
    </row>
    <row r="16" ht="20" customHeight="1">
      <c r="A16" s="10" t="n">
        <v>46113</v>
      </c>
      <c r="B16" s="11" t="inlineStr">
        <is>
          <t>Empresas</t>
        </is>
      </c>
      <c r="C16" s="12" t="n">
        <v>88000</v>
      </c>
      <c r="D16" s="13" t="n">
        <v>161.2</v>
      </c>
      <c r="E16" s="13" t="n">
        <v>93.59999999999999</v>
      </c>
      <c r="F16" s="12" t="n">
        <v>2</v>
      </c>
      <c r="G16" s="12" t="n">
        <v>31</v>
      </c>
      <c r="H16" s="12" t="n">
        <v>30</v>
      </c>
      <c r="I16" s="13" t="n">
        <v>63.2</v>
      </c>
      <c r="J16" s="14">
        <f>D16-E16</f>
        <v>67.6</v>
      </c>
      <c r="K16" s="15">
        <f>IFERROR(H16/G16,0)</f>
        <v>0.96774193548387</v>
      </c>
    </row>
    <row r="17" ht="20" customHeight="1">
      <c r="A17" s="4" t="n">
        <v>46143</v>
      </c>
      <c r="B17" s="5" t="inlineStr">
        <is>
          <t>Canal Digital</t>
        </is>
      </c>
      <c r="C17" s="6" t="n">
        <v>670000</v>
      </c>
      <c r="D17" s="7" t="n">
        <v>222.5</v>
      </c>
      <c r="E17" s="7" t="n">
        <v>133</v>
      </c>
      <c r="F17" s="6" t="n">
        <v>4</v>
      </c>
      <c r="G17" s="6" t="n">
        <v>146</v>
      </c>
      <c r="H17" s="6" t="n">
        <v>135</v>
      </c>
      <c r="I17" s="7" t="n">
        <v>90</v>
      </c>
      <c r="J17" s="8">
        <f>D17-E17</f>
        <v>89.5</v>
      </c>
      <c r="K17" s="9">
        <f>IFERROR(H17/G17,0)</f>
        <v>0.92465753424658</v>
      </c>
    </row>
    <row r="18" ht="20" customHeight="1">
      <c r="A18" s="10" t="n">
        <v>46143</v>
      </c>
      <c r="B18" s="11" t="inlineStr">
        <is>
          <t>Pymes</t>
        </is>
      </c>
      <c r="C18" s="12" t="n">
        <v>180500</v>
      </c>
      <c r="D18" s="13" t="n">
        <v>134</v>
      </c>
      <c r="E18" s="13" t="n">
        <v>82.8</v>
      </c>
      <c r="F18" s="12" t="n">
        <v>2</v>
      </c>
      <c r="G18" s="12" t="n">
        <v>76</v>
      </c>
      <c r="H18" s="12" t="n">
        <v>71</v>
      </c>
      <c r="I18" s="13" t="n">
        <v>47</v>
      </c>
      <c r="J18" s="14">
        <f>D18-E18</f>
        <v>51.2</v>
      </c>
      <c r="K18" s="15">
        <f>IFERROR(H18/G18,0)</f>
        <v>0.93421052631579</v>
      </c>
    </row>
    <row r="19" ht="20" customHeight="1">
      <c r="A19" s="4" t="n">
        <v>46143</v>
      </c>
      <c r="B19" s="5" t="inlineStr">
        <is>
          <t>Empresas</t>
        </is>
      </c>
      <c r="C19" s="6" t="n">
        <v>90000</v>
      </c>
      <c r="D19" s="7" t="n">
        <v>163</v>
      </c>
      <c r="E19" s="7" t="n">
        <v>94.5</v>
      </c>
      <c r="F19" s="6" t="n">
        <v>1</v>
      </c>
      <c r="G19" s="6" t="n">
        <v>31</v>
      </c>
      <c r="H19" s="6" t="n">
        <v>30</v>
      </c>
      <c r="I19" s="7" t="n">
        <v>63.5</v>
      </c>
      <c r="J19" s="8">
        <f>D19-E19</f>
        <v>68.5</v>
      </c>
      <c r="K19" s="9">
        <f>IFERROR(H19/G19,0)</f>
        <v>0.96774193548387</v>
      </c>
    </row>
    <row r="20" ht="20" customHeight="1">
      <c r="A20" s="10" t="n">
        <v>46174</v>
      </c>
      <c r="B20" s="11" t="inlineStr">
        <is>
          <t>Canal Digital</t>
        </is>
      </c>
      <c r="C20" s="12" t="n">
        <v>689000</v>
      </c>
      <c r="D20" s="13" t="n">
        <v>227.8</v>
      </c>
      <c r="E20" s="13" t="n">
        <v>136.4</v>
      </c>
      <c r="F20" s="12" t="n">
        <v>5</v>
      </c>
      <c r="G20" s="12" t="n">
        <v>152</v>
      </c>
      <c r="H20" s="12" t="n">
        <v>140</v>
      </c>
      <c r="I20" s="13" t="n">
        <v>92</v>
      </c>
      <c r="J20" s="14">
        <f>D20-E20</f>
        <v>91.4</v>
      </c>
      <c r="K20" s="15">
        <f>IFERROR(H20/G20,0)</f>
        <v>0.92105263157895</v>
      </c>
    </row>
    <row r="21" ht="20" customHeight="1">
      <c r="A21" s="4" t="n">
        <v>46174</v>
      </c>
      <c r="B21" s="5" t="inlineStr">
        <is>
          <t>Pymes</t>
        </is>
      </c>
      <c r="C21" s="6" t="n">
        <v>183600</v>
      </c>
      <c r="D21" s="7" t="n">
        <v>136.4</v>
      </c>
      <c r="E21" s="7" t="n">
        <v>84.09999999999999</v>
      </c>
      <c r="F21" s="6" t="n">
        <v>3</v>
      </c>
      <c r="G21" s="6" t="n">
        <v>78</v>
      </c>
      <c r="H21" s="6" t="n">
        <v>74</v>
      </c>
      <c r="I21" s="7" t="n">
        <v>47.8</v>
      </c>
      <c r="J21" s="8">
        <f>D21-E21</f>
        <v>52.3</v>
      </c>
      <c r="K21" s="9">
        <f>IFERROR(H21/G21,0)</f>
        <v>0.94871794871795</v>
      </c>
    </row>
    <row r="22" ht="20" customHeight="1">
      <c r="A22" s="10" t="n">
        <v>46174</v>
      </c>
      <c r="B22" s="11" t="inlineStr">
        <is>
          <t>Empresas</t>
        </is>
      </c>
      <c r="C22" s="12" t="n">
        <v>92000</v>
      </c>
      <c r="D22" s="13" t="n">
        <v>164.8</v>
      </c>
      <c r="E22" s="13" t="n">
        <v>95.40000000000001</v>
      </c>
      <c r="F22" s="12" t="n">
        <v>2</v>
      </c>
      <c r="G22" s="12" t="n">
        <v>33</v>
      </c>
      <c r="H22" s="12" t="n">
        <v>32</v>
      </c>
      <c r="I22" s="13" t="n">
        <v>63.8</v>
      </c>
      <c r="J22" s="14">
        <f>D22-E22</f>
        <v>69.4</v>
      </c>
      <c r="K22" s="15">
        <f>IFERROR(H22/G22,0)</f>
        <v>0.96969696969697</v>
      </c>
    </row>
    <row r="23" ht="20" customHeight="1">
      <c r="A23" s="4" t="n">
        <v>46204</v>
      </c>
      <c r="B23" s="5" t="inlineStr">
        <is>
          <t>Canal Digital</t>
        </is>
      </c>
      <c r="C23" s="6" t="n">
        <v>716000</v>
      </c>
      <c r="D23" s="7" t="n">
        <v>233.1</v>
      </c>
      <c r="E23" s="7" t="n">
        <v>139.8</v>
      </c>
      <c r="F23" s="6" t="n">
        <v>6</v>
      </c>
      <c r="G23" s="6" t="n">
        <v>166</v>
      </c>
      <c r="H23" s="6" t="n">
        <v>150</v>
      </c>
      <c r="I23" s="7" t="n">
        <v>94</v>
      </c>
      <c r="J23" s="8">
        <f>D23-E23</f>
        <v>93.3</v>
      </c>
      <c r="K23" s="9">
        <f>IFERROR(H23/G23,0)</f>
        <v>0.90361445783133</v>
      </c>
    </row>
    <row r="24" ht="20" customHeight="1">
      <c r="A24" s="10" t="n">
        <v>46204</v>
      </c>
      <c r="B24" s="11" t="inlineStr">
        <is>
          <t>Pymes</t>
        </is>
      </c>
      <c r="C24" s="12" t="n">
        <v>186700</v>
      </c>
      <c r="D24" s="13" t="n">
        <v>138.8</v>
      </c>
      <c r="E24" s="13" t="n">
        <v>85.5</v>
      </c>
      <c r="F24" s="12" t="n">
        <v>2</v>
      </c>
      <c r="G24" s="12" t="n">
        <v>77</v>
      </c>
      <c r="H24" s="12" t="n">
        <v>73</v>
      </c>
      <c r="I24" s="13" t="n">
        <v>48.6</v>
      </c>
      <c r="J24" s="14">
        <f>D24-E24</f>
        <v>53.3</v>
      </c>
      <c r="K24" s="15">
        <f>IFERROR(H24/G24,0)</f>
        <v>0.94805194805195</v>
      </c>
    </row>
    <row r="25" ht="20" customHeight="1">
      <c r="A25" s="4" t="n">
        <v>46204</v>
      </c>
      <c r="B25" s="5" t="inlineStr">
        <is>
          <t>Empresas</t>
        </is>
      </c>
      <c r="C25" s="6" t="n">
        <v>94000</v>
      </c>
      <c r="D25" s="7" t="n">
        <v>166.6</v>
      </c>
      <c r="E25" s="7" t="n">
        <v>96.3</v>
      </c>
      <c r="F25" s="6" t="n">
        <v>1</v>
      </c>
      <c r="G25" s="6" t="n">
        <v>35</v>
      </c>
      <c r="H25" s="6" t="n">
        <v>33</v>
      </c>
      <c r="I25" s="7" t="n">
        <v>64.09999999999999</v>
      </c>
      <c r="J25" s="8">
        <f>D25-E25</f>
        <v>70.3</v>
      </c>
      <c r="K25" s="9">
        <f>IFERROR(H25/G25,0)</f>
        <v>0.94285714285714</v>
      </c>
    </row>
    <row r="26" ht="20" customHeight="1">
      <c r="A26" s="10" t="n">
        <v>46235</v>
      </c>
      <c r="B26" s="11" t="inlineStr">
        <is>
          <t>Canal Digital</t>
        </is>
      </c>
      <c r="C26" s="12" t="n">
        <v>727000</v>
      </c>
      <c r="D26" s="13" t="n">
        <v>238.4</v>
      </c>
      <c r="E26" s="13" t="n">
        <v>162.2</v>
      </c>
      <c r="F26" s="12" t="n">
        <v>17</v>
      </c>
      <c r="G26" s="12" t="n">
        <v>235</v>
      </c>
      <c r="H26" s="12" t="n">
        <v>172</v>
      </c>
      <c r="I26" s="13" t="n">
        <v>96</v>
      </c>
      <c r="J26" s="14">
        <f>D26-E26</f>
        <v>76.2</v>
      </c>
      <c r="K26" s="15">
        <f>IFERROR(H26/G26,0)</f>
        <v>0.73191489361702</v>
      </c>
    </row>
    <row r="27" ht="20" customHeight="1">
      <c r="A27" s="4" t="n">
        <v>46235</v>
      </c>
      <c r="B27" s="5" t="inlineStr">
        <is>
          <t>Pymes</t>
        </is>
      </c>
      <c r="C27" s="6" t="n">
        <v>189800</v>
      </c>
      <c r="D27" s="7" t="n">
        <v>141.2</v>
      </c>
      <c r="E27" s="7" t="n">
        <v>86.8</v>
      </c>
      <c r="F27" s="6" t="n">
        <v>4</v>
      </c>
      <c r="G27" s="6" t="n">
        <v>82</v>
      </c>
      <c r="H27" s="6" t="n">
        <v>78</v>
      </c>
      <c r="I27" s="7" t="n">
        <v>49.4</v>
      </c>
      <c r="J27" s="8">
        <f>D27-E27</f>
        <v>54.4</v>
      </c>
      <c r="K27" s="9">
        <f>IFERROR(H27/G27,0)</f>
        <v>0.95121951219512</v>
      </c>
    </row>
    <row r="28" ht="20" customHeight="1">
      <c r="A28" s="10" t="n">
        <v>46235</v>
      </c>
      <c r="B28" s="11" t="inlineStr">
        <is>
          <t>Empresas</t>
        </is>
      </c>
      <c r="C28" s="12" t="n">
        <v>96000</v>
      </c>
      <c r="D28" s="13" t="n">
        <v>168.4</v>
      </c>
      <c r="E28" s="13" t="n">
        <v>97.2</v>
      </c>
      <c r="F28" s="12" t="n">
        <v>2</v>
      </c>
      <c r="G28" s="12" t="n">
        <v>34</v>
      </c>
      <c r="H28" s="12" t="n">
        <v>32</v>
      </c>
      <c r="I28" s="13" t="n">
        <v>64.40000000000001</v>
      </c>
      <c r="J28" s="14">
        <f>D28-E28</f>
        <v>71.2</v>
      </c>
      <c r="K28" s="15">
        <f>IFERROR(H28/G28,0)</f>
        <v>0.94117647058824</v>
      </c>
    </row>
    <row r="29" ht="20" customHeight="1">
      <c r="A29" s="4" t="n">
        <v>46266</v>
      </c>
      <c r="B29" s="5" t="inlineStr">
        <is>
          <t>Canal Digital</t>
        </is>
      </c>
      <c r="C29" s="6" t="n">
        <v>746000</v>
      </c>
      <c r="D29" s="7" t="n">
        <v>243.7</v>
      </c>
      <c r="E29" s="7" t="n">
        <v>160.6</v>
      </c>
      <c r="F29" s="6" t="n">
        <v>13</v>
      </c>
      <c r="G29" s="6" t="n">
        <v>219</v>
      </c>
      <c r="H29" s="6" t="n">
        <v>169</v>
      </c>
      <c r="I29" s="7" t="n">
        <v>98</v>
      </c>
      <c r="J29" s="8">
        <f>D29-E29</f>
        <v>83.1</v>
      </c>
      <c r="K29" s="9">
        <f>IFERROR(H29/G29,0)</f>
        <v>0.77168949771689</v>
      </c>
    </row>
    <row r="30" ht="20" customHeight="1">
      <c r="A30" s="10" t="n">
        <v>46266</v>
      </c>
      <c r="B30" s="11" t="inlineStr">
        <is>
          <t>Pymes</t>
        </is>
      </c>
      <c r="C30" s="12" t="n">
        <v>192900</v>
      </c>
      <c r="D30" s="13" t="n">
        <v>143.6</v>
      </c>
      <c r="E30" s="13" t="n">
        <v>88.2</v>
      </c>
      <c r="F30" s="12" t="n">
        <v>3</v>
      </c>
      <c r="G30" s="12" t="n">
        <v>80</v>
      </c>
      <c r="H30" s="12" t="n">
        <v>76</v>
      </c>
      <c r="I30" s="13" t="n">
        <v>50.2</v>
      </c>
      <c r="J30" s="14">
        <f>D30-E30</f>
        <v>55.4</v>
      </c>
      <c r="K30" s="15">
        <f>IFERROR(H30/G30,0)</f>
        <v>0.95</v>
      </c>
    </row>
    <row r="31" ht="20" customHeight="1">
      <c r="A31" s="4" t="n">
        <v>46266</v>
      </c>
      <c r="B31" s="5" t="inlineStr">
        <is>
          <t>Empresas</t>
        </is>
      </c>
      <c r="C31" s="6" t="n">
        <v>98000</v>
      </c>
      <c r="D31" s="7" t="n">
        <v>170.2</v>
      </c>
      <c r="E31" s="7" t="n">
        <v>98.09999999999999</v>
      </c>
      <c r="F31" s="6" t="n">
        <v>2</v>
      </c>
      <c r="G31" s="6" t="n">
        <v>36</v>
      </c>
      <c r="H31" s="6" t="n">
        <v>34</v>
      </c>
      <c r="I31" s="7" t="n">
        <v>64.7</v>
      </c>
      <c r="J31" s="8">
        <f>D31-E31</f>
        <v>72.1</v>
      </c>
      <c r="K31" s="9">
        <f>IFERROR(H31/G31,0)</f>
        <v>0.94444444444444</v>
      </c>
    </row>
  </sheetData>
  <mergeCells count="2">
    <mergeCell ref="A2:K2"/>
    <mergeCell ref="A1:K1"/>
  </mergeCells>
  <conditionalFormatting sqref="K5:K31">
    <cfRule type="cellIs" priority="1" operator="lessThan" dxfId="0">
      <formula>0.92</formula>
    </cfRule>
  </conditionalFormatting>
  <conditionalFormatting sqref="F5:F31">
    <cfRule type="cellIs" priority="2" operator="greaterThan" dxfId="1">
      <formula>10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3" customWidth="1" min="2" max="2"/>
    <col width="60" customWidth="1" min="3" max="3"/>
  </cols>
  <sheetData>
    <row r="1" ht="32" customHeight="1">
      <c r="A1" s="16" t="inlineStr">
        <is>
          <t>Diccionario de datos y criterios de lectura</t>
        </is>
      </c>
    </row>
    <row r="3">
      <c r="A3" s="17" t="inlineStr">
        <is>
          <t>Campo</t>
        </is>
      </c>
      <c r="B3" s="17" t="inlineStr">
        <is>
          <t>Definición</t>
        </is>
      </c>
      <c r="C3" s="17" t="inlineStr">
        <is>
          <t>Regla de interpretación</t>
        </is>
      </c>
    </row>
    <row r="4" ht="31" customHeight="1">
      <c r="A4" s="18" t="inlineStr">
        <is>
          <t>Mes</t>
        </is>
      </c>
      <c r="B4" s="18" t="inlineStr">
        <is>
          <t>Primer día de cada mes de 2026</t>
        </is>
      </c>
      <c r="C4" s="18" t="inlineStr">
        <is>
          <t>Agrupar mensualmente; no sumar fechas</t>
        </is>
      </c>
    </row>
    <row r="5" ht="31" customHeight="1">
      <c r="A5" s="19" t="inlineStr">
        <is>
          <t>Línea de negocio</t>
        </is>
      </c>
      <c r="B5" s="19" t="inlineStr">
        <is>
          <t>Canal Digital, Pymes, Empresas</t>
        </is>
      </c>
      <c r="C5" s="19" t="inlineStr">
        <is>
          <t>Misma línea en los nueve meses</t>
        </is>
      </c>
    </row>
    <row r="6" ht="31" customHeight="1">
      <c r="A6" s="18" t="inlineStr">
        <is>
          <t>Transacciones</t>
        </is>
      </c>
      <c r="B6" s="18" t="inlineStr">
        <is>
          <t>Número de transacciones del período</t>
        </is>
      </c>
      <c r="C6" s="18" t="inlineStr">
        <is>
          <t>Volumen; sumar al consolidar</t>
        </is>
      </c>
    </row>
    <row r="7" ht="31" customHeight="1">
      <c r="A7" s="19" t="inlineStr">
        <is>
          <t>Ingresos (mill. UM)</t>
        </is>
      </c>
      <c r="B7" s="19" t="inlineStr">
        <is>
          <t>Ingresos mensuales en millones de unidades monetarias</t>
        </is>
      </c>
      <c r="C7" s="19" t="inlineStr">
        <is>
          <t>Sumar antes de comparar períodos</t>
        </is>
      </c>
    </row>
    <row r="8" ht="31" customHeight="1">
      <c r="A8" s="18" t="inlineStr">
        <is>
          <t>Costos (mill. UM)</t>
        </is>
      </c>
      <c r="B8" s="18" t="inlineStr">
        <is>
          <t>Costos operativos mensuales en millones de UM</t>
        </is>
      </c>
      <c r="C8" s="18" t="inlineStr">
        <is>
          <t>No son inversión propuesta</t>
        </is>
      </c>
    </row>
    <row r="9" ht="31" customHeight="1">
      <c r="A9" s="19" t="inlineStr">
        <is>
          <t>Incidentes críticos</t>
        </is>
      </c>
      <c r="B9" s="19" t="inlineStr">
        <is>
          <t>Incidentes tecnológicos u operativos con prioridad alta</t>
        </is>
      </c>
      <c r="C9" s="19" t="inlineStr">
        <is>
          <t>Suma de incidentes por línea y período</t>
        </is>
      </c>
    </row>
    <row r="10" ht="31" customHeight="1">
      <c r="A10" s="18" t="inlineStr">
        <is>
          <t>Reclamos recibidos</t>
        </is>
      </c>
      <c r="B10" s="18" t="inlineStr">
        <is>
          <t>Cantidad de reclamos ingresados en el mes</t>
        </is>
      </c>
      <c r="C10" s="18" t="inlineStr">
        <is>
          <t>Denominador del SLA</t>
        </is>
      </c>
    </row>
    <row r="11" ht="34" customHeight="1">
      <c r="A11" s="19" t="inlineStr">
        <is>
          <t>Reclamos resueltos &lt;48 h</t>
        </is>
      </c>
      <c r="B11" s="19" t="inlineStr">
        <is>
          <t>Cantidad de reclamos cerrados en menos de 48 horas</t>
        </is>
      </c>
      <c r="C11" s="19" t="inlineStr">
        <is>
          <t>Numerador del SLA</t>
        </is>
      </c>
    </row>
    <row r="12" ht="31" customHeight="1">
      <c r="A12" s="18" t="inlineStr">
        <is>
          <t>Meta margen (mill. UM)</t>
        </is>
      </c>
      <c r="B12" s="18" t="inlineStr">
        <is>
          <t>Objetivo interno de margen mensual por línea</t>
        </is>
      </c>
      <c r="C12" s="18" t="inlineStr">
        <is>
          <t>No es pronóstico</t>
        </is>
      </c>
    </row>
    <row r="13" ht="31" customHeight="1">
      <c r="A13" s="19" t="inlineStr">
        <is>
          <t>Margen (mill. UM)</t>
        </is>
      </c>
      <c r="B13" s="19" t="inlineStr">
        <is>
          <t>Ingresos menos costos</t>
        </is>
      </c>
      <c r="C13" s="19" t="inlineStr">
        <is>
          <t>Columna calculada por fórmula</t>
        </is>
      </c>
    </row>
    <row r="14" ht="34" customHeight="1">
      <c r="A14" s="18" t="inlineStr">
        <is>
          <t>SLA reclamos 48 h</t>
        </is>
      </c>
      <c r="B14" s="18" t="inlineStr">
        <is>
          <t>Reclamos resueltos antes de 48 h / reclamos recibidos</t>
        </is>
      </c>
      <c r="C14" s="18" t="inlineStr">
        <is>
          <t>SLA agregado = suma resueltos / suma recibidos (no promedio simple)</t>
        </is>
      </c>
    </row>
    <row r="15" ht="34" customHeight="1">
      <c r="A15" s="19" t="inlineStr">
        <is>
          <t>Umbral SLA</t>
        </is>
      </c>
      <c r="B15" s="19" t="inlineStr">
        <is>
          <t>92 %</t>
        </is>
      </c>
      <c r="C15" s="19" t="inlineStr">
        <is>
          <t>Bandera operativa del caso; no es estándar regulatorio</t>
        </is>
      </c>
    </row>
    <row r="16" ht="31" customHeight="1">
      <c r="A16" s="18" t="inlineStr">
        <is>
          <t>Alcance</t>
        </is>
      </c>
      <c r="B16" s="18" t="inlineStr">
        <is>
          <t>Enero a septiembre de 2026</t>
        </is>
      </c>
      <c r="C16" s="18" t="inlineStr">
        <is>
          <t>No contiene datos de octubre a diciembre</t>
        </is>
      </c>
    </row>
    <row r="17" ht="31" customHeight="1">
      <c r="A17" s="19" t="inlineStr">
        <is>
          <t>Fuente</t>
        </is>
      </c>
      <c r="B17" s="19" t="inlineStr">
        <is>
          <t>Escenario de laboratorio Grupo Horizonte</t>
        </is>
      </c>
      <c r="C17" s="19" t="inlineStr">
        <is>
          <t>No refleja entidades, clientes o cifras reales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2026-10-23T19:15:56Z</dcterms:created>
  <dcterms:modified xmlns:dcterms="http://purl.org/dc/terms/" xmlns:xsi="http://www.w3.org/2001/XMLSchema-instance" xsi:type="dcterms:W3CDTF">2026-10-23T19:15:56Z</dcterms:modified>
</cp:coreProperties>
</file>